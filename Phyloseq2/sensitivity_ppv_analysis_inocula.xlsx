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m/Desktop/SickKids/Phyloseq2/"/>
    </mc:Choice>
  </mc:AlternateContent>
  <xr:revisionPtr revIDLastSave="0" documentId="8_{99CDDDDC-0BBD-8648-B59F-5E3EC5095A81}" xr6:coauthVersionLast="47" xr6:coauthVersionMax="47" xr10:uidLastSave="{00000000-0000-0000-0000-000000000000}"/>
  <bookViews>
    <workbookView xWindow="5500" yWindow="4200" windowWidth="26440" windowHeight="15440" xr2:uid="{05377A55-D0F1-6B48-95E7-AF6B54F6D5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  <c r="F54" i="1"/>
  <c r="F53" i="1"/>
  <c r="F52" i="1"/>
  <c r="F51" i="1"/>
  <c r="F50" i="1"/>
  <c r="F49" i="1"/>
  <c r="F48" i="1"/>
  <c r="F47" i="1"/>
  <c r="F46" i="1"/>
  <c r="F45" i="1"/>
  <c r="M13" i="1"/>
  <c r="L13" i="1"/>
  <c r="N13" i="1" s="1"/>
  <c r="K13" i="1"/>
  <c r="M12" i="1"/>
  <c r="L12" i="1"/>
  <c r="N12" i="1" s="1"/>
  <c r="K12" i="1"/>
  <c r="M11" i="1"/>
  <c r="L11" i="1"/>
  <c r="N11" i="1" s="1"/>
  <c r="K11" i="1"/>
  <c r="M10" i="1"/>
  <c r="L10" i="1"/>
  <c r="N10" i="1" s="1"/>
  <c r="K10" i="1"/>
  <c r="M9" i="1"/>
  <c r="L9" i="1"/>
  <c r="N9" i="1" s="1"/>
  <c r="K9" i="1"/>
  <c r="M8" i="1"/>
  <c r="L8" i="1"/>
  <c r="N8" i="1" s="1"/>
  <c r="K8" i="1"/>
  <c r="M7" i="1"/>
  <c r="L7" i="1"/>
  <c r="N7" i="1" s="1"/>
  <c r="K7" i="1"/>
  <c r="M6" i="1"/>
  <c r="L6" i="1"/>
  <c r="N6" i="1" s="1"/>
  <c r="K6" i="1"/>
  <c r="M5" i="1"/>
  <c r="L5" i="1"/>
  <c r="N5" i="1" s="1"/>
  <c r="K5" i="1"/>
  <c r="M4" i="1"/>
  <c r="L4" i="1"/>
  <c r="N4" i="1" s="1"/>
  <c r="K4" i="1"/>
  <c r="M3" i="1"/>
  <c r="L3" i="1"/>
  <c r="N3" i="1" s="1"/>
  <c r="K3" i="1"/>
  <c r="P13" i="1" l="1"/>
  <c r="O13" i="1"/>
  <c r="P12" i="1"/>
  <c r="O12" i="1"/>
  <c r="P11" i="1"/>
  <c r="O11" i="1"/>
  <c r="P10" i="1"/>
  <c r="O10" i="1"/>
  <c r="P9" i="1"/>
  <c r="O9" i="1"/>
  <c r="O8" i="1"/>
  <c r="P8" i="1"/>
  <c r="P7" i="1"/>
  <c r="O7" i="1"/>
  <c r="P6" i="1"/>
  <c r="O6" i="1"/>
  <c r="P5" i="1"/>
  <c r="O5" i="1"/>
  <c r="P4" i="1"/>
  <c r="O4" i="1"/>
  <c r="P3" i="1"/>
  <c r="O3" i="1"/>
</calcChain>
</file>

<file path=xl/sharedStrings.xml><?xml version="1.0" encoding="utf-8"?>
<sst xmlns="http://schemas.openxmlformats.org/spreadsheetml/2006/main" count="36" uniqueCount="13">
  <si>
    <t>NS1</t>
  </si>
  <si>
    <t>Metrics of all consortia</t>
  </si>
  <si>
    <t>Iteration - ASV count</t>
  </si>
  <si>
    <t>ASV count</t>
  </si>
  <si>
    <t>True positive</t>
  </si>
  <si>
    <t>False positive</t>
  </si>
  <si>
    <t>False negative</t>
  </si>
  <si>
    <t>Total errors</t>
  </si>
  <si>
    <t>Sensitivity</t>
  </si>
  <si>
    <t>Positive predictive value</t>
  </si>
  <si>
    <t>S2</t>
  </si>
  <si>
    <t>NS6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</si>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</sst>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0" fontId="0" fillId="0" borderId="0" xfId="1" applyNumberFormat="1" applyFont="1"/>
    <xf numFmtId="0" fontId="4" fillId="2" borderId="0" xfId="0" applyFont="1" applyFill="1" applyAlignment="1">
      <alignment horizontal="center"/>
    </xf>
    <xf numFmtId="0" fontId="0" fillId="2" borderId="0" xfId="0" applyFill="1"/>
    <xf numFmtId="10" fontId="0" fillId="2" borderId="0" xfId="1" applyNumberFormat="1" applyFont="1" applyFill="1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2CCB-4CAD-2747-923F-1424278B5BC7}">
  <dimension ref="A1:P55"/>
  <sheetViews>
    <sheetView tabSelected="1" workbookViewId="0">
      <selection activeCell="F15" sqref="F15"/>
    </sheetView>
  </sheetViews>
  <sheetFormatPr baseColWidth="10" defaultRowHeight="16" x14ac:dyDescent="0.2"/>
  <sheetData>
    <row r="1" spans="1:16" x14ac:dyDescent="0.2">
      <c r="A1" t="s">
        <v>0</v>
      </c>
      <c r="J1" s="1" t="s">
        <v>1</v>
      </c>
    </row>
    <row r="2" spans="1:16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J2" s="2" t="s">
        <v>2</v>
      </c>
      <c r="K2" s="2" t="s">
        <v>4</v>
      </c>
      <c r="L2" s="2" t="s">
        <v>5</v>
      </c>
      <c r="M2" s="2" t="s">
        <v>6</v>
      </c>
      <c r="N2" s="2" t="s">
        <v>7</v>
      </c>
      <c r="O2" s="1" t="s">
        <v>8</v>
      </c>
      <c r="P2" s="2" t="s">
        <v>9</v>
      </c>
    </row>
    <row r="3" spans="1:16" x14ac:dyDescent="0.2">
      <c r="A3" s="3">
        <v>0</v>
      </c>
      <c r="B3" s="3">
        <v>50</v>
      </c>
      <c r="C3" s="3">
        <v>23</v>
      </c>
      <c r="D3" s="3">
        <v>1</v>
      </c>
      <c r="E3" s="3">
        <v>2</v>
      </c>
      <c r="F3" s="3">
        <v>3</v>
      </c>
      <c r="J3" s="3">
        <v>0</v>
      </c>
      <c r="K3">
        <f>C3+C17+C31+C45</f>
        <v>99</v>
      </c>
      <c r="L3">
        <f>D3+D17+D31+D45</f>
        <v>22</v>
      </c>
      <c r="M3">
        <f>E3+E17+E31+E45</f>
        <v>3</v>
      </c>
      <c r="N3">
        <f>SUM(L3:M3)</f>
        <v>25</v>
      </c>
      <c r="O3" s="4">
        <f>K3/(K3+M3)</f>
        <v>0.97058823529411764</v>
      </c>
      <c r="P3" s="4">
        <f>K3/(K3+L3)</f>
        <v>0.81818181818181823</v>
      </c>
    </row>
    <row r="4" spans="1:16" x14ac:dyDescent="0.2">
      <c r="A4" s="3">
        <v>25</v>
      </c>
      <c r="B4" s="3">
        <v>47</v>
      </c>
      <c r="C4" s="3">
        <v>23</v>
      </c>
      <c r="D4" s="3">
        <v>1</v>
      </c>
      <c r="E4" s="3">
        <v>2</v>
      </c>
      <c r="F4" s="3">
        <v>3</v>
      </c>
      <c r="J4" s="3">
        <v>25</v>
      </c>
      <c r="K4">
        <f>C4+C18+C32+C46</f>
        <v>98</v>
      </c>
      <c r="L4">
        <f>D4+D18+D32+D46</f>
        <v>9</v>
      </c>
      <c r="M4">
        <f>E4+E18+E32+E46</f>
        <v>3</v>
      </c>
      <c r="N4">
        <f>SUM(L4:M4)</f>
        <v>12</v>
      </c>
      <c r="O4" s="4">
        <f>K4/(K4+M4)</f>
        <v>0.97029702970297027</v>
      </c>
      <c r="P4" s="4">
        <f>K4/(K4+L4)</f>
        <v>0.91588785046728971</v>
      </c>
    </row>
    <row r="5" spans="1:16" x14ac:dyDescent="0.2">
      <c r="A5" s="3">
        <v>50</v>
      </c>
      <c r="B5" s="3">
        <v>46</v>
      </c>
      <c r="C5" s="3">
        <v>23</v>
      </c>
      <c r="D5" s="3">
        <v>1</v>
      </c>
      <c r="E5" s="3">
        <v>2</v>
      </c>
      <c r="F5" s="3">
        <v>3</v>
      </c>
      <c r="J5" s="3">
        <v>50</v>
      </c>
      <c r="K5">
        <f>C5+C19+C33+C47</f>
        <v>99</v>
      </c>
      <c r="L5">
        <f>D5+D19+D33+D47</f>
        <v>6</v>
      </c>
      <c r="M5">
        <f>E5+E19+E33+E47</f>
        <v>3</v>
      </c>
      <c r="N5">
        <f>SUM(L5:M5)</f>
        <v>9</v>
      </c>
      <c r="O5" s="4">
        <f>K5/(K5+M5)</f>
        <v>0.97058823529411764</v>
      </c>
      <c r="P5" s="4">
        <f>K5/(K5+L5)</f>
        <v>0.94285714285714284</v>
      </c>
    </row>
    <row r="6" spans="1:16" x14ac:dyDescent="0.2">
      <c r="A6" s="3">
        <v>75</v>
      </c>
      <c r="B6" s="3">
        <v>45</v>
      </c>
      <c r="C6" s="3">
        <v>23</v>
      </c>
      <c r="D6" s="3">
        <v>1</v>
      </c>
      <c r="E6" s="3">
        <v>2</v>
      </c>
      <c r="F6" s="3">
        <v>3</v>
      </c>
      <c r="J6" s="5">
        <v>75</v>
      </c>
      <c r="K6" s="6">
        <f>C6+C20+C34+C48</f>
        <v>99</v>
      </c>
      <c r="L6" s="6">
        <f>D6+D20+D34+D48</f>
        <v>5</v>
      </c>
      <c r="M6" s="6">
        <f>E6+E20+E34+E48</f>
        <v>3</v>
      </c>
      <c r="N6" s="6">
        <f>SUM(L6:M6)</f>
        <v>8</v>
      </c>
      <c r="O6" s="7">
        <f>K6/(K6+M6)</f>
        <v>0.97058823529411764</v>
      </c>
      <c r="P6" s="7">
        <f>K6/(K6+L6)</f>
        <v>0.95192307692307687</v>
      </c>
    </row>
    <row r="7" spans="1:16" x14ac:dyDescent="0.2">
      <c r="A7" s="3">
        <v>100</v>
      </c>
      <c r="B7" s="3">
        <v>43</v>
      </c>
      <c r="C7" s="3">
        <v>23</v>
      </c>
      <c r="D7" s="3">
        <v>1</v>
      </c>
      <c r="E7" s="3">
        <v>2</v>
      </c>
      <c r="F7" s="3">
        <v>3</v>
      </c>
      <c r="J7" s="3">
        <v>100</v>
      </c>
      <c r="K7">
        <f>C7+C21+C35+C49</f>
        <v>98</v>
      </c>
      <c r="L7">
        <f>D7+D21+D35+D49</f>
        <v>5</v>
      </c>
      <c r="M7">
        <f>E7+E21+E35+E49</f>
        <v>4</v>
      </c>
      <c r="N7">
        <f>SUM(L7:M7)</f>
        <v>9</v>
      </c>
      <c r="O7" s="4">
        <f>K7/(K7+M7)</f>
        <v>0.96078431372549022</v>
      </c>
      <c r="P7" s="4">
        <f>K7/(K7+L7)</f>
        <v>0.95145631067961167</v>
      </c>
    </row>
    <row r="8" spans="1:16" x14ac:dyDescent="0.2">
      <c r="A8" s="3">
        <v>125</v>
      </c>
      <c r="B8" s="3">
        <v>40</v>
      </c>
      <c r="C8" s="3">
        <v>23</v>
      </c>
      <c r="D8" s="3">
        <v>1</v>
      </c>
      <c r="E8" s="3">
        <v>2</v>
      </c>
      <c r="F8" s="3">
        <v>3</v>
      </c>
      <c r="J8" s="3">
        <v>125</v>
      </c>
      <c r="K8">
        <f>C8+C22+C36+C50</f>
        <v>98</v>
      </c>
      <c r="L8">
        <f>D8+D22+D36+D50</f>
        <v>5</v>
      </c>
      <c r="M8">
        <f>E8+E22+E36+E50</f>
        <v>4</v>
      </c>
      <c r="N8">
        <f>SUM(L8:M8)</f>
        <v>9</v>
      </c>
      <c r="O8" s="4">
        <f>K8/(K8+M8)</f>
        <v>0.96078431372549022</v>
      </c>
      <c r="P8" s="4">
        <f>K8/(K8+L8)</f>
        <v>0.95145631067961167</v>
      </c>
    </row>
    <row r="9" spans="1:16" x14ac:dyDescent="0.2">
      <c r="A9" s="3">
        <v>175</v>
      </c>
      <c r="B9" s="3">
        <v>37</v>
      </c>
      <c r="C9" s="3">
        <v>23</v>
      </c>
      <c r="D9" s="3">
        <v>0</v>
      </c>
      <c r="E9" s="3">
        <v>2</v>
      </c>
      <c r="F9" s="3">
        <v>2</v>
      </c>
      <c r="J9" s="5">
        <v>175</v>
      </c>
      <c r="K9" s="6">
        <f>C9+C23+C37+C51</f>
        <v>96</v>
      </c>
      <c r="L9" s="6">
        <f>D9+D23+D37+D51</f>
        <v>2</v>
      </c>
      <c r="M9" s="6">
        <f>E9+E23+E37+E51</f>
        <v>6</v>
      </c>
      <c r="N9" s="6">
        <f>SUM(L9:M9)</f>
        <v>8</v>
      </c>
      <c r="O9" s="7">
        <f>K9/(K9+M9)</f>
        <v>0.94117647058823528</v>
      </c>
      <c r="P9" s="7">
        <f>K9/(K9+L9)</f>
        <v>0.97959183673469385</v>
      </c>
    </row>
    <row r="10" spans="1:16" x14ac:dyDescent="0.2">
      <c r="A10" s="3">
        <v>250</v>
      </c>
      <c r="B10" s="3">
        <v>36</v>
      </c>
      <c r="C10" s="3">
        <v>22</v>
      </c>
      <c r="D10" s="3">
        <v>0</v>
      </c>
      <c r="E10" s="3">
        <v>3</v>
      </c>
      <c r="F10" s="3">
        <v>3</v>
      </c>
      <c r="J10" s="5">
        <v>250</v>
      </c>
      <c r="K10" s="6">
        <f>C10+C24+C38+C52</f>
        <v>95</v>
      </c>
      <c r="L10" s="6">
        <f>D10+D24+D38+D52</f>
        <v>1</v>
      </c>
      <c r="M10" s="6">
        <f>E10+E24+E38+E52</f>
        <v>7</v>
      </c>
      <c r="N10" s="6">
        <f>SUM(L10:M10)</f>
        <v>8</v>
      </c>
      <c r="O10" s="7">
        <f>K10/(K10+M10)</f>
        <v>0.93137254901960786</v>
      </c>
      <c r="P10" s="7">
        <f>K10/(K10+L10)</f>
        <v>0.98958333333333337</v>
      </c>
    </row>
    <row r="11" spans="1:16" x14ac:dyDescent="0.2">
      <c r="A11" s="3">
        <v>500</v>
      </c>
      <c r="B11" s="3">
        <v>34</v>
      </c>
      <c r="C11" s="3">
        <v>21</v>
      </c>
      <c r="D11" s="3">
        <v>0</v>
      </c>
      <c r="E11" s="3">
        <v>4</v>
      </c>
      <c r="F11" s="3">
        <v>4</v>
      </c>
      <c r="J11" s="3">
        <v>500</v>
      </c>
      <c r="K11">
        <f>C11+C25+C39+C53</f>
        <v>92</v>
      </c>
      <c r="L11">
        <f>D11+D25+D39+D53</f>
        <v>1</v>
      </c>
      <c r="M11">
        <f>E11+E25+E39+E53</f>
        <v>10</v>
      </c>
      <c r="N11">
        <f>SUM(L11:M11)</f>
        <v>11</v>
      </c>
      <c r="O11" s="4">
        <f>K11/(K11+M11)</f>
        <v>0.90196078431372551</v>
      </c>
      <c r="P11" s="4">
        <f>K11/(K11+L11)</f>
        <v>0.989247311827957</v>
      </c>
    </row>
    <row r="12" spans="1:16" x14ac:dyDescent="0.2">
      <c r="A12" s="3">
        <v>750</v>
      </c>
      <c r="B12" s="3">
        <v>33</v>
      </c>
      <c r="C12" s="3">
        <v>21</v>
      </c>
      <c r="D12" s="3">
        <v>0</v>
      </c>
      <c r="E12" s="3">
        <v>4</v>
      </c>
      <c r="F12" s="3">
        <v>4</v>
      </c>
      <c r="J12" s="3">
        <v>750</v>
      </c>
      <c r="K12">
        <f>C12+C26+C40+C54</f>
        <v>89</v>
      </c>
      <c r="L12">
        <f>D12+D26+D40+D54</f>
        <v>0</v>
      </c>
      <c r="M12">
        <f>E12+E26+E40+E54</f>
        <v>13</v>
      </c>
      <c r="N12">
        <f>SUM(L12:M12)</f>
        <v>13</v>
      </c>
      <c r="O12" s="4">
        <f>K12/(K12+M12)</f>
        <v>0.87254901960784315</v>
      </c>
      <c r="P12" s="4">
        <f>K12/(K12+L12)</f>
        <v>1</v>
      </c>
    </row>
    <row r="13" spans="1:16" x14ac:dyDescent="0.2">
      <c r="A13" s="3">
        <v>1000</v>
      </c>
      <c r="B13" s="3">
        <v>32</v>
      </c>
      <c r="C13" s="3">
        <v>21</v>
      </c>
      <c r="D13" s="3">
        <v>0</v>
      </c>
      <c r="E13" s="3">
        <v>5</v>
      </c>
      <c r="F13" s="3">
        <v>5</v>
      </c>
      <c r="J13" s="3">
        <v>1000</v>
      </c>
      <c r="K13">
        <f>C13+C27+C41+C55</f>
        <v>88</v>
      </c>
      <c r="L13">
        <f>D13+D27+D41+D55</f>
        <v>0</v>
      </c>
      <c r="M13">
        <f>E13+E27+E41+E55</f>
        <v>15</v>
      </c>
      <c r="N13">
        <f>SUM(L13:M13)</f>
        <v>15</v>
      </c>
      <c r="O13" s="4">
        <f>K13/(K13+M13)</f>
        <v>0.85436893203883491</v>
      </c>
      <c r="P13" s="4">
        <f>K13/(K13+L13)</f>
        <v>1</v>
      </c>
    </row>
    <row r="15" spans="1:16" x14ac:dyDescent="0.2">
      <c r="A15" t="s">
        <v>10</v>
      </c>
    </row>
    <row r="16" spans="1:16" x14ac:dyDescent="0.2">
      <c r="A16" s="2" t="s">
        <v>2</v>
      </c>
      <c r="B16" s="2" t="s">
        <v>3</v>
      </c>
      <c r="C16" s="2" t="s">
        <v>4</v>
      </c>
      <c r="D16" s="2" t="s">
        <v>5</v>
      </c>
      <c r="E16" s="2" t="s">
        <v>6</v>
      </c>
      <c r="F16" s="2" t="s">
        <v>7</v>
      </c>
    </row>
    <row r="17" spans="1:6" x14ac:dyDescent="0.2">
      <c r="A17" s="3">
        <v>0</v>
      </c>
      <c r="B17" s="3">
        <v>59</v>
      </c>
      <c r="C17" s="3">
        <v>24</v>
      </c>
      <c r="D17" s="3">
        <v>2</v>
      </c>
      <c r="E17" s="3">
        <v>1</v>
      </c>
      <c r="F17" s="3">
        <v>3</v>
      </c>
    </row>
    <row r="18" spans="1:6" x14ac:dyDescent="0.2">
      <c r="A18" s="3">
        <v>25</v>
      </c>
      <c r="B18" s="3">
        <v>56</v>
      </c>
      <c r="C18" s="3">
        <v>24</v>
      </c>
      <c r="D18" s="3">
        <v>0</v>
      </c>
      <c r="E18" s="3">
        <v>1</v>
      </c>
      <c r="F18" s="3">
        <v>1</v>
      </c>
    </row>
    <row r="19" spans="1:6" x14ac:dyDescent="0.2">
      <c r="A19" s="3">
        <v>50</v>
      </c>
      <c r="B19" s="3">
        <v>54</v>
      </c>
      <c r="C19" s="3">
        <v>24</v>
      </c>
      <c r="D19" s="3">
        <v>0</v>
      </c>
      <c r="E19" s="3">
        <v>1</v>
      </c>
      <c r="F19" s="3">
        <v>1</v>
      </c>
    </row>
    <row r="20" spans="1:6" x14ac:dyDescent="0.2">
      <c r="A20" s="3">
        <v>75</v>
      </c>
      <c r="B20" s="3">
        <v>51</v>
      </c>
      <c r="C20" s="3">
        <v>24</v>
      </c>
      <c r="D20" s="3">
        <v>0</v>
      </c>
      <c r="E20" s="3">
        <v>1</v>
      </c>
      <c r="F20" s="3">
        <v>1</v>
      </c>
    </row>
    <row r="21" spans="1:6" x14ac:dyDescent="0.2">
      <c r="A21" s="3">
        <v>100</v>
      </c>
      <c r="B21" s="3">
        <v>46</v>
      </c>
      <c r="C21" s="3">
        <v>24</v>
      </c>
      <c r="D21" s="3">
        <v>0</v>
      </c>
      <c r="E21" s="3">
        <v>1</v>
      </c>
      <c r="F21" s="3">
        <v>1</v>
      </c>
    </row>
    <row r="22" spans="1:6" x14ac:dyDescent="0.2">
      <c r="A22" s="3">
        <v>125</v>
      </c>
      <c r="B22" s="3">
        <v>43</v>
      </c>
      <c r="C22" s="3">
        <v>24</v>
      </c>
      <c r="D22" s="3">
        <v>0</v>
      </c>
      <c r="E22" s="3">
        <v>1</v>
      </c>
      <c r="F22" s="3">
        <v>1</v>
      </c>
    </row>
    <row r="23" spans="1:6" x14ac:dyDescent="0.2">
      <c r="A23" s="3">
        <v>175</v>
      </c>
      <c r="B23" s="3">
        <v>41</v>
      </c>
      <c r="C23" s="3">
        <v>23</v>
      </c>
      <c r="D23" s="3">
        <v>0</v>
      </c>
      <c r="E23" s="3">
        <v>2</v>
      </c>
      <c r="F23" s="3">
        <v>2</v>
      </c>
    </row>
    <row r="24" spans="1:6" x14ac:dyDescent="0.2">
      <c r="A24" s="3">
        <v>250</v>
      </c>
      <c r="B24" s="3">
        <v>39</v>
      </c>
      <c r="C24" s="3">
        <v>23</v>
      </c>
      <c r="D24" s="3">
        <v>0</v>
      </c>
      <c r="E24" s="3">
        <v>2</v>
      </c>
      <c r="F24" s="3">
        <v>2</v>
      </c>
    </row>
    <row r="25" spans="1:6" x14ac:dyDescent="0.2">
      <c r="A25" s="3">
        <v>500</v>
      </c>
      <c r="B25" s="3">
        <v>37</v>
      </c>
      <c r="C25" s="3">
        <v>23</v>
      </c>
      <c r="D25" s="3">
        <v>0</v>
      </c>
      <c r="E25" s="3">
        <v>2</v>
      </c>
      <c r="F25" s="3">
        <v>2</v>
      </c>
    </row>
    <row r="26" spans="1:6" x14ac:dyDescent="0.2">
      <c r="A26" s="3">
        <v>750</v>
      </c>
      <c r="B26" s="3">
        <v>34</v>
      </c>
      <c r="C26" s="3">
        <v>20</v>
      </c>
      <c r="D26" s="3">
        <v>0</v>
      </c>
      <c r="E26" s="3">
        <v>5</v>
      </c>
      <c r="F26" s="3">
        <v>5</v>
      </c>
    </row>
    <row r="27" spans="1:6" x14ac:dyDescent="0.2">
      <c r="A27" s="3">
        <v>1000</v>
      </c>
      <c r="B27" s="3">
        <v>33</v>
      </c>
      <c r="C27" s="3">
        <v>20</v>
      </c>
      <c r="D27" s="3">
        <v>0</v>
      </c>
      <c r="E27" s="3">
        <v>5</v>
      </c>
      <c r="F27" s="3">
        <v>5</v>
      </c>
    </row>
    <row r="29" spans="1:6" x14ac:dyDescent="0.2">
      <c r="A29" t="s">
        <v>11</v>
      </c>
    </row>
    <row r="30" spans="1:6" x14ac:dyDescent="0.2">
      <c r="A30" s="2" t="s">
        <v>2</v>
      </c>
      <c r="B30" s="2" t="s">
        <v>3</v>
      </c>
      <c r="C30" s="2" t="s">
        <v>4</v>
      </c>
      <c r="D30" s="2" t="s">
        <v>5</v>
      </c>
      <c r="E30" s="2" t="s">
        <v>6</v>
      </c>
      <c r="F30" s="2" t="s">
        <v>7</v>
      </c>
    </row>
    <row r="31" spans="1:6" x14ac:dyDescent="0.2">
      <c r="A31" s="3">
        <v>0</v>
      </c>
      <c r="B31" s="8">
        <v>101</v>
      </c>
      <c r="C31" s="8">
        <v>27</v>
      </c>
      <c r="D31" s="8">
        <v>15</v>
      </c>
      <c r="E31" s="8">
        <v>0</v>
      </c>
      <c r="F31" s="8">
        <v>15</v>
      </c>
    </row>
    <row r="32" spans="1:6" x14ac:dyDescent="0.2">
      <c r="A32" s="3">
        <v>25</v>
      </c>
      <c r="B32" s="8">
        <v>79</v>
      </c>
      <c r="C32" s="8">
        <v>27</v>
      </c>
      <c r="D32" s="8">
        <v>7</v>
      </c>
      <c r="E32" s="8">
        <v>0</v>
      </c>
      <c r="F32" s="8">
        <v>7</v>
      </c>
    </row>
    <row r="33" spans="1:6" x14ac:dyDescent="0.2">
      <c r="A33" s="3">
        <v>50</v>
      </c>
      <c r="B33" s="8">
        <v>71</v>
      </c>
      <c r="C33" s="8">
        <v>27</v>
      </c>
      <c r="D33" s="8">
        <v>5</v>
      </c>
      <c r="E33" s="8">
        <v>0</v>
      </c>
      <c r="F33" s="8">
        <v>5</v>
      </c>
    </row>
    <row r="34" spans="1:6" x14ac:dyDescent="0.2">
      <c r="A34" s="3">
        <v>75</v>
      </c>
      <c r="B34" s="8">
        <v>64</v>
      </c>
      <c r="C34" s="8">
        <v>27</v>
      </c>
      <c r="D34" s="8">
        <v>4</v>
      </c>
      <c r="E34" s="8">
        <v>0</v>
      </c>
      <c r="F34" s="8">
        <v>4</v>
      </c>
    </row>
    <row r="35" spans="1:6" x14ac:dyDescent="0.2">
      <c r="A35" s="3">
        <v>100</v>
      </c>
      <c r="B35" s="8">
        <v>63</v>
      </c>
      <c r="C35" s="8">
        <v>27</v>
      </c>
      <c r="D35" s="8">
        <v>4</v>
      </c>
      <c r="E35" s="8">
        <v>0</v>
      </c>
      <c r="F35" s="8">
        <v>4</v>
      </c>
    </row>
    <row r="36" spans="1:6" x14ac:dyDescent="0.2">
      <c r="A36" s="3">
        <v>125</v>
      </c>
      <c r="B36" s="8">
        <v>62</v>
      </c>
      <c r="C36" s="8">
        <v>27</v>
      </c>
      <c r="D36" s="8">
        <v>4</v>
      </c>
      <c r="E36" s="8">
        <v>0</v>
      </c>
      <c r="F36" s="8">
        <v>4</v>
      </c>
    </row>
    <row r="37" spans="1:6" x14ac:dyDescent="0.2">
      <c r="A37" s="3">
        <v>175</v>
      </c>
      <c r="B37" s="8">
        <v>53</v>
      </c>
      <c r="C37" s="8">
        <v>26</v>
      </c>
      <c r="D37" s="8">
        <v>2</v>
      </c>
      <c r="E37" s="8">
        <v>1</v>
      </c>
      <c r="F37" s="8">
        <v>3</v>
      </c>
    </row>
    <row r="38" spans="1:6" x14ac:dyDescent="0.2">
      <c r="A38" s="3">
        <v>250</v>
      </c>
      <c r="B38" s="8">
        <v>50</v>
      </c>
      <c r="C38" s="8">
        <v>26</v>
      </c>
      <c r="D38" s="8">
        <v>1</v>
      </c>
      <c r="E38" s="8">
        <v>1</v>
      </c>
      <c r="F38" s="8">
        <v>2</v>
      </c>
    </row>
    <row r="39" spans="1:6" x14ac:dyDescent="0.2">
      <c r="A39" s="3">
        <v>500</v>
      </c>
      <c r="B39" s="8">
        <v>43</v>
      </c>
      <c r="C39" s="8">
        <v>24</v>
      </c>
      <c r="D39" s="8">
        <v>1</v>
      </c>
      <c r="E39" s="8">
        <v>3</v>
      </c>
      <c r="F39" s="8">
        <v>4</v>
      </c>
    </row>
    <row r="40" spans="1:6" x14ac:dyDescent="0.2">
      <c r="A40" s="3">
        <v>750</v>
      </c>
      <c r="B40" s="8">
        <v>40</v>
      </c>
      <c r="C40" s="8">
        <v>24</v>
      </c>
      <c r="D40" s="8">
        <v>0</v>
      </c>
      <c r="E40" s="8">
        <v>3</v>
      </c>
      <c r="F40" s="8">
        <v>3</v>
      </c>
    </row>
    <row r="41" spans="1:6" x14ac:dyDescent="0.2">
      <c r="A41" s="3">
        <v>1000</v>
      </c>
      <c r="B41" s="8">
        <v>34</v>
      </c>
      <c r="C41" s="8">
        <v>23</v>
      </c>
      <c r="D41" s="8">
        <v>0</v>
      </c>
      <c r="E41" s="8">
        <v>4</v>
      </c>
      <c r="F41" s="8">
        <v>4</v>
      </c>
    </row>
    <row r="43" spans="1:6" x14ac:dyDescent="0.2">
      <c r="A43" t="s">
        <v>12</v>
      </c>
    </row>
    <row r="44" spans="1:6" x14ac:dyDescent="0.2">
      <c r="A44" s="2" t="s">
        <v>2</v>
      </c>
      <c r="B44" s="2" t="s">
        <v>3</v>
      </c>
      <c r="C44" s="2" t="s">
        <v>4</v>
      </c>
      <c r="D44" s="2" t="s">
        <v>5</v>
      </c>
      <c r="E44" s="2" t="s">
        <v>6</v>
      </c>
      <c r="F44" s="2" t="s">
        <v>7</v>
      </c>
    </row>
    <row r="45" spans="1:6" x14ac:dyDescent="0.2">
      <c r="A45" s="9">
        <v>0</v>
      </c>
      <c r="B45">
        <v>59</v>
      </c>
      <c r="C45">
        <v>25</v>
      </c>
      <c r="D45">
        <v>4</v>
      </c>
      <c r="E45">
        <v>0</v>
      </c>
      <c r="F45">
        <f>SUM(D45:E45)</f>
        <v>4</v>
      </c>
    </row>
    <row r="46" spans="1:6" x14ac:dyDescent="0.2">
      <c r="A46" s="10">
        <v>25</v>
      </c>
      <c r="B46">
        <v>52</v>
      </c>
      <c r="C46">
        <v>24</v>
      </c>
      <c r="D46">
        <v>1</v>
      </c>
      <c r="E46">
        <v>0</v>
      </c>
      <c r="F46">
        <f>SUM(D46:E46)</f>
        <v>1</v>
      </c>
    </row>
    <row r="47" spans="1:6" x14ac:dyDescent="0.2">
      <c r="A47" s="10">
        <v>50</v>
      </c>
      <c r="B47">
        <v>48</v>
      </c>
      <c r="C47">
        <v>25</v>
      </c>
      <c r="D47">
        <v>0</v>
      </c>
      <c r="E47">
        <v>0</v>
      </c>
      <c r="F47">
        <f>SUM(D47:E47)</f>
        <v>0</v>
      </c>
    </row>
    <row r="48" spans="1:6" x14ac:dyDescent="0.2">
      <c r="A48" s="10">
        <v>75</v>
      </c>
      <c r="B48">
        <v>46</v>
      </c>
      <c r="C48">
        <v>25</v>
      </c>
      <c r="D48">
        <v>0</v>
      </c>
      <c r="E48">
        <v>0</v>
      </c>
      <c r="F48">
        <f>SUM(D48:E48)</f>
        <v>0</v>
      </c>
    </row>
    <row r="49" spans="1:6" x14ac:dyDescent="0.2">
      <c r="A49" s="10">
        <v>100</v>
      </c>
      <c r="B49">
        <v>44</v>
      </c>
      <c r="C49">
        <v>24</v>
      </c>
      <c r="D49">
        <v>0</v>
      </c>
      <c r="E49">
        <v>1</v>
      </c>
      <c r="F49">
        <f>SUM(D49:E49)</f>
        <v>1</v>
      </c>
    </row>
    <row r="50" spans="1:6" x14ac:dyDescent="0.2">
      <c r="A50" s="10">
        <v>125</v>
      </c>
      <c r="B50">
        <v>43</v>
      </c>
      <c r="C50">
        <v>24</v>
      </c>
      <c r="D50">
        <v>0</v>
      </c>
      <c r="E50">
        <v>1</v>
      </c>
      <c r="F50">
        <f>SUM(D50:E50)</f>
        <v>1</v>
      </c>
    </row>
    <row r="51" spans="1:6" x14ac:dyDescent="0.2">
      <c r="A51" s="10">
        <v>175</v>
      </c>
      <c r="B51">
        <v>42</v>
      </c>
      <c r="C51">
        <v>24</v>
      </c>
      <c r="D51">
        <v>0</v>
      </c>
      <c r="E51">
        <v>1</v>
      </c>
      <c r="F51">
        <f>SUM(D51:E51)</f>
        <v>1</v>
      </c>
    </row>
    <row r="52" spans="1:6" x14ac:dyDescent="0.2">
      <c r="A52" s="10">
        <v>250</v>
      </c>
      <c r="B52">
        <v>42</v>
      </c>
      <c r="C52">
        <v>24</v>
      </c>
      <c r="D52">
        <v>0</v>
      </c>
      <c r="E52">
        <v>1</v>
      </c>
      <c r="F52">
        <f>SUM(D52:E52)</f>
        <v>1</v>
      </c>
    </row>
    <row r="53" spans="1:6" x14ac:dyDescent="0.2">
      <c r="A53" s="10">
        <v>500</v>
      </c>
      <c r="B53">
        <v>35</v>
      </c>
      <c r="C53">
        <v>24</v>
      </c>
      <c r="D53">
        <v>0</v>
      </c>
      <c r="E53">
        <v>1</v>
      </c>
      <c r="F53">
        <f>SUM(D53:E53)</f>
        <v>1</v>
      </c>
    </row>
    <row r="54" spans="1:6" x14ac:dyDescent="0.2">
      <c r="A54" s="10">
        <v>750</v>
      </c>
      <c r="B54">
        <v>35</v>
      </c>
      <c r="C54">
        <v>24</v>
      </c>
      <c r="D54">
        <v>0</v>
      </c>
      <c r="E54">
        <v>1</v>
      </c>
      <c r="F54">
        <f>SUM(D54:E54)</f>
        <v>1</v>
      </c>
    </row>
    <row r="55" spans="1:6" x14ac:dyDescent="0.2">
      <c r="A55" s="10">
        <v>1000</v>
      </c>
      <c r="B55">
        <v>33</v>
      </c>
      <c r="C55">
        <v>24</v>
      </c>
      <c r="D55">
        <v>0</v>
      </c>
      <c r="E55">
        <v>1</v>
      </c>
      <c r="F55">
        <f>SUM(D55:E55)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Castaneda Mogollon</dc:creator>
  <cp:lastModifiedBy>Daniel Castaneda Mogollon</cp:lastModifiedBy>
  <dcterms:created xsi:type="dcterms:W3CDTF">2026-03-12T22:54:31Z</dcterms:created>
  <dcterms:modified xsi:type="dcterms:W3CDTF">2026-03-12T22:54:48Z</dcterms:modified>
</cp:coreProperties>
</file>