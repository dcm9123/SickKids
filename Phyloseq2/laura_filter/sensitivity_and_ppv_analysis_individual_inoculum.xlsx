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cm/Desktop/SickKids/Phyloseq2/"/>
    </mc:Choice>
  </mc:AlternateContent>
  <xr:revisionPtr revIDLastSave="0" documentId="8_{257FAB00-7046-E94A-A548-71A96B61D53E}" xr6:coauthVersionLast="47" xr6:coauthVersionMax="47" xr10:uidLastSave="{00000000-0000-0000-0000-000000000000}"/>
  <bookViews>
    <workbookView xWindow="-34280" yWindow="2380" windowWidth="25240" windowHeight="13940" activeTab="5" xr2:uid="{F7FC4E39-690F-F440-A8CA-EEDCF5A93FB8}"/>
  </bookViews>
  <sheets>
    <sheet name="NS1 inocula" sheetId="2" r:id="rId1"/>
    <sheet name="NS1" sheetId="1" r:id="rId2"/>
    <sheet name="S2 inocula" sheetId="3" r:id="rId3"/>
    <sheet name="Sheet5" sheetId="5" r:id="rId4"/>
    <sheet name="NS6 inocula" sheetId="4" r:id="rId5"/>
    <sheet name="S5 inocula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6" l="1"/>
  <c r="O4" i="6"/>
  <c r="O5" i="6"/>
  <c r="O6" i="6"/>
  <c r="O7" i="6"/>
  <c r="O8" i="6"/>
  <c r="O9" i="6"/>
  <c r="O10" i="6"/>
  <c r="O11" i="6"/>
  <c r="O12" i="6"/>
  <c r="O2" i="6"/>
  <c r="F3" i="6"/>
  <c r="F4" i="6"/>
  <c r="F5" i="6"/>
  <c r="F6" i="6"/>
  <c r="F7" i="6"/>
  <c r="F8" i="6"/>
  <c r="F9" i="6"/>
  <c r="F10" i="6"/>
  <c r="F11" i="6"/>
  <c r="F12" i="6"/>
  <c r="F2" i="6"/>
  <c r="F3" i="4"/>
  <c r="F4" i="4"/>
  <c r="F5" i="4"/>
  <c r="F6" i="4"/>
  <c r="F7" i="4"/>
  <c r="F8" i="4"/>
  <c r="F9" i="4"/>
  <c r="F10" i="4"/>
  <c r="F11" i="4"/>
  <c r="F12" i="4"/>
  <c r="F2" i="4"/>
  <c r="F3" i="3"/>
  <c r="F4" i="3"/>
  <c r="F5" i="3"/>
  <c r="F6" i="3"/>
  <c r="F7" i="3"/>
  <c r="F8" i="3"/>
  <c r="F9" i="3"/>
  <c r="F10" i="3"/>
  <c r="F11" i="3"/>
  <c r="F12" i="3"/>
  <c r="F2" i="3"/>
  <c r="S3" i="2"/>
  <c r="S4" i="2"/>
  <c r="S5" i="2"/>
  <c r="S6" i="2"/>
  <c r="S7" i="2"/>
  <c r="S8" i="2"/>
  <c r="S9" i="2"/>
  <c r="S10" i="2"/>
  <c r="S11" i="2"/>
  <c r="S12" i="2"/>
  <c r="S2" i="2"/>
  <c r="E3" i="2"/>
  <c r="D3" i="2"/>
</calcChain>
</file>

<file path=xl/sharedStrings.xml><?xml version="1.0" encoding="utf-8"?>
<sst xmlns="http://schemas.openxmlformats.org/spreadsheetml/2006/main" count="129" uniqueCount="53">
  <si>
    <t>TP</t>
  </si>
  <si>
    <t>Akkermansia muciniphila</t>
  </si>
  <si>
    <t>Alistipes finegoldii</t>
  </si>
  <si>
    <t>Bifidobacterium longum</t>
  </si>
  <si>
    <t>Collinsella sp902362275/sp902472315</t>
  </si>
  <si>
    <t>Eggerthella lenta</t>
  </si>
  <si>
    <t>Eisenbergiella tayi</t>
  </si>
  <si>
    <t>Enterocloster bolteae/clostridioformis</t>
  </si>
  <si>
    <t>Enterocloster citroniae</t>
  </si>
  <si>
    <t>Escherichia coli</t>
  </si>
  <si>
    <t>Flavonifractor plautii</t>
  </si>
  <si>
    <t>Hungatella effluvii</t>
  </si>
  <si>
    <t>Parabacteroides distasonis</t>
  </si>
  <si>
    <t>Phocaeicola vulgatus</t>
  </si>
  <si>
    <t>FP</t>
  </si>
  <si>
    <t>Alistipes onderdonkii</t>
  </si>
  <si>
    <t>Bacteroides stercoris</t>
  </si>
  <si>
    <t>Bacteroides thetaiotaomicron</t>
  </si>
  <si>
    <t>Bacteroides uniformis</t>
  </si>
  <si>
    <t>Enterococcus_B durans</t>
  </si>
  <si>
    <t>Parabacteroides merdae</t>
  </si>
  <si>
    <t>Phocaeicola dorei</t>
  </si>
  <si>
    <t>Sarcina perfringens</t>
  </si>
  <si>
    <t>Sutterella wadsworthensis</t>
  </si>
  <si>
    <t>Enterocloster bolteae/citroniae</t>
  </si>
  <si>
    <t>Bifidobacterium pseudocatenulatum</t>
  </si>
  <si>
    <t>Collinsella sp902362275</t>
  </si>
  <si>
    <t>Enterocloster bolteae</t>
  </si>
  <si>
    <t>Instestinimonas_A celer</t>
  </si>
  <si>
    <t>Staphylococcus hominis</t>
  </si>
  <si>
    <t>Streptococcus sp001556435</t>
  </si>
  <si>
    <t>FN</t>
  </si>
  <si>
    <t>ASV filter = 175 total sum across all samples</t>
  </si>
  <si>
    <t>ASV filter = 200 total sum across all samples</t>
  </si>
  <si>
    <t>Intestinimonas_A celer</t>
  </si>
  <si>
    <t>ASV - 175 or less across all samples</t>
  </si>
  <si>
    <t>No rule applied</t>
  </si>
  <si>
    <t>Parabacteroides distasonis/merdae</t>
  </si>
  <si>
    <t>Hydrogeniiclostridium mannosilyticum</t>
  </si>
  <si>
    <t>Se</t>
  </si>
  <si>
    <t>PPV</t>
  </si>
  <si>
    <t>Iteration - ASV count</t>
  </si>
  <si>
    <t>True positive</t>
  </si>
  <si>
    <t>False negative</t>
  </si>
  <si>
    <t>False positive</t>
  </si>
  <si>
    <t>ASV count</t>
  </si>
  <si>
    <t>Total errors</t>
  </si>
  <si>
    <t>NS1</t>
  </si>
  <si>
    <t>S2</t>
  </si>
  <si>
    <t>NS6</t>
  </si>
  <si>
    <t>S5</t>
  </si>
  <si>
    <t>Total</t>
  </si>
  <si>
    <t>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</si>
</sst>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9" fontId="0" fillId="0" borderId="0" xfId="1" applyFont="1"/>
    <xf numFmtId="10" fontId="0" fillId="0" borderId="0" xfId="1" applyNumberFormat="1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35B69-DC13-BB4F-BBB1-975971C6E292}">
  <dimension ref="A1:S27"/>
  <sheetViews>
    <sheetView workbookViewId="0">
      <selection activeCell="E41" sqref="E41"/>
    </sheetView>
  </sheetViews>
  <sheetFormatPr baseColWidth="10" defaultRowHeight="16" x14ac:dyDescent="0.2"/>
  <cols>
    <col min="1" max="1" width="33.1640625" bestFit="1" customWidth="1"/>
    <col min="2" max="2" width="32.83203125" bestFit="1" customWidth="1"/>
    <col min="3" max="3" width="31.1640625" bestFit="1" customWidth="1"/>
    <col min="5" max="5" width="11.6640625" bestFit="1" customWidth="1"/>
    <col min="7" max="7" width="33.1640625" bestFit="1" customWidth="1"/>
    <col min="8" max="8" width="11" customWidth="1"/>
    <col min="14" max="14" width="19.1640625" customWidth="1"/>
    <col min="16" max="16" width="20.5" bestFit="1" customWidth="1"/>
    <col min="17" max="17" width="12.5" bestFit="1" customWidth="1"/>
    <col min="18" max="18" width="13" bestFit="1" customWidth="1"/>
  </cols>
  <sheetData>
    <row r="1" spans="1:19" x14ac:dyDescent="0.2">
      <c r="A1" s="1" t="s">
        <v>36</v>
      </c>
      <c r="G1" s="1" t="s">
        <v>35</v>
      </c>
      <c r="N1" s="1" t="s">
        <v>41</v>
      </c>
      <c r="O1" s="1" t="s">
        <v>45</v>
      </c>
      <c r="P1" s="1" t="s">
        <v>42</v>
      </c>
      <c r="Q1" s="1" t="s">
        <v>44</v>
      </c>
      <c r="R1" s="1" t="s">
        <v>43</v>
      </c>
      <c r="S1" s="1" t="s">
        <v>46</v>
      </c>
    </row>
    <row r="2" spans="1:19" s="1" customFormat="1" x14ac:dyDescent="0.2">
      <c r="A2" s="1" t="s">
        <v>0</v>
      </c>
      <c r="B2" s="1" t="s">
        <v>14</v>
      </c>
      <c r="C2" s="1" t="s">
        <v>31</v>
      </c>
      <c r="D2" s="1" t="s">
        <v>39</v>
      </c>
      <c r="E2" s="1" t="s">
        <v>40</v>
      </c>
      <c r="G2" s="1" t="s">
        <v>0</v>
      </c>
      <c r="H2" s="1" t="s">
        <v>14</v>
      </c>
      <c r="I2" s="1" t="s">
        <v>31</v>
      </c>
      <c r="J2" s="1" t="s">
        <v>39</v>
      </c>
      <c r="K2" s="1" t="s">
        <v>40</v>
      </c>
      <c r="N2" s="4">
        <v>0</v>
      </c>
      <c r="O2" s="4">
        <v>50</v>
      </c>
      <c r="P2" s="4">
        <v>23</v>
      </c>
      <c r="Q2" s="4">
        <v>1</v>
      </c>
      <c r="R2" s="4">
        <v>2</v>
      </c>
      <c r="S2" s="4">
        <f>SUM(Q2:R2)</f>
        <v>3</v>
      </c>
    </row>
    <row r="3" spans="1:19" x14ac:dyDescent="0.2">
      <c r="A3" t="s">
        <v>1</v>
      </c>
      <c r="B3" t="s">
        <v>38</v>
      </c>
      <c r="C3" t="s">
        <v>25</v>
      </c>
      <c r="D3" s="2">
        <f>(COUNTA(A3:A50))/((COUNTA(A3:A50))+COUNTA(C3:C50))</f>
        <v>0.92592592592592593</v>
      </c>
      <c r="E3" s="3">
        <f>(COUNTA(A3:A50))/((COUNTA(A3:A50))+COUNTA(B3:B50))</f>
        <v>0.96153846153846156</v>
      </c>
      <c r="G3" t="s">
        <v>1</v>
      </c>
      <c r="J3" s="2">
        <v>1</v>
      </c>
      <c r="K3" s="2">
        <v>1</v>
      </c>
      <c r="N3" s="5">
        <v>25</v>
      </c>
      <c r="O3" s="5">
        <v>47</v>
      </c>
      <c r="P3" s="5">
        <v>23</v>
      </c>
      <c r="Q3" s="4">
        <v>1</v>
      </c>
      <c r="R3" s="4">
        <v>2</v>
      </c>
      <c r="S3" s="4">
        <f t="shared" ref="S3:S12" si="0">SUM(Q3:R3)</f>
        <v>3</v>
      </c>
    </row>
    <row r="4" spans="1:19" x14ac:dyDescent="0.2">
      <c r="A4" t="s">
        <v>2</v>
      </c>
      <c r="C4" t="s">
        <v>11</v>
      </c>
      <c r="G4" t="s">
        <v>2</v>
      </c>
      <c r="N4" s="5">
        <v>50</v>
      </c>
      <c r="O4" s="5">
        <v>46</v>
      </c>
      <c r="P4" s="5">
        <v>23</v>
      </c>
      <c r="Q4" s="4">
        <v>1</v>
      </c>
      <c r="R4" s="4">
        <v>2</v>
      </c>
      <c r="S4" s="4">
        <f t="shared" si="0"/>
        <v>3</v>
      </c>
    </row>
    <row r="5" spans="1:19" x14ac:dyDescent="0.2">
      <c r="A5" t="s">
        <v>15</v>
      </c>
      <c r="G5" t="s">
        <v>15</v>
      </c>
      <c r="N5" s="5">
        <v>75</v>
      </c>
      <c r="O5" s="4">
        <v>45</v>
      </c>
      <c r="P5" s="5">
        <v>23</v>
      </c>
      <c r="Q5" s="4">
        <v>1</v>
      </c>
      <c r="R5" s="4">
        <v>2</v>
      </c>
      <c r="S5" s="4">
        <f t="shared" si="0"/>
        <v>3</v>
      </c>
    </row>
    <row r="6" spans="1:19" x14ac:dyDescent="0.2">
      <c r="A6" t="s">
        <v>16</v>
      </c>
      <c r="G6" t="s">
        <v>16</v>
      </c>
      <c r="N6" s="5">
        <v>100</v>
      </c>
      <c r="O6" s="5">
        <v>43</v>
      </c>
      <c r="P6" s="5">
        <v>23</v>
      </c>
      <c r="Q6" s="4">
        <v>1</v>
      </c>
      <c r="R6" s="4">
        <v>2</v>
      </c>
      <c r="S6" s="4">
        <f t="shared" si="0"/>
        <v>3</v>
      </c>
    </row>
    <row r="7" spans="1:19" x14ac:dyDescent="0.2">
      <c r="A7" t="s">
        <v>17</v>
      </c>
      <c r="G7" t="s">
        <v>17</v>
      </c>
      <c r="N7" s="5">
        <v>125</v>
      </c>
      <c r="O7" s="4">
        <v>40</v>
      </c>
      <c r="P7" s="5">
        <v>23</v>
      </c>
      <c r="Q7" s="4">
        <v>1</v>
      </c>
      <c r="R7" s="4">
        <v>2</v>
      </c>
      <c r="S7" s="4">
        <f t="shared" si="0"/>
        <v>3</v>
      </c>
    </row>
    <row r="8" spans="1:19" x14ac:dyDescent="0.2">
      <c r="A8" t="s">
        <v>18</v>
      </c>
      <c r="G8" t="s">
        <v>18</v>
      </c>
      <c r="N8" s="5">
        <v>175</v>
      </c>
      <c r="O8" s="4">
        <v>37</v>
      </c>
      <c r="P8" s="5">
        <v>23</v>
      </c>
      <c r="Q8" s="4">
        <v>0</v>
      </c>
      <c r="R8" s="4">
        <v>2</v>
      </c>
      <c r="S8" s="4">
        <f t="shared" si="0"/>
        <v>2</v>
      </c>
    </row>
    <row r="9" spans="1:19" x14ac:dyDescent="0.2">
      <c r="A9" t="s">
        <v>3</v>
      </c>
      <c r="G9" t="s">
        <v>3</v>
      </c>
      <c r="N9" s="5">
        <v>250</v>
      </c>
      <c r="O9" s="4">
        <v>36</v>
      </c>
      <c r="P9" s="5">
        <v>22</v>
      </c>
      <c r="Q9" s="4">
        <v>0</v>
      </c>
      <c r="R9" s="5">
        <v>3</v>
      </c>
      <c r="S9" s="4">
        <f t="shared" si="0"/>
        <v>3</v>
      </c>
    </row>
    <row r="10" spans="1:19" x14ac:dyDescent="0.2">
      <c r="A10" t="s">
        <v>4</v>
      </c>
      <c r="G10" t="s">
        <v>4</v>
      </c>
      <c r="N10" s="5">
        <v>500</v>
      </c>
      <c r="O10" s="4">
        <v>34</v>
      </c>
      <c r="P10" s="5">
        <v>21</v>
      </c>
      <c r="Q10" s="4">
        <v>0</v>
      </c>
      <c r="R10" s="5">
        <v>4</v>
      </c>
      <c r="S10" s="4">
        <f t="shared" si="0"/>
        <v>4</v>
      </c>
    </row>
    <row r="11" spans="1:19" x14ac:dyDescent="0.2">
      <c r="A11" t="s">
        <v>5</v>
      </c>
      <c r="G11" t="s">
        <v>5</v>
      </c>
      <c r="N11" s="5">
        <v>750</v>
      </c>
      <c r="O11" s="4">
        <v>33</v>
      </c>
      <c r="P11" s="5">
        <v>21</v>
      </c>
      <c r="Q11" s="4">
        <v>0</v>
      </c>
      <c r="R11" s="5">
        <v>4</v>
      </c>
      <c r="S11" s="4">
        <f t="shared" si="0"/>
        <v>4</v>
      </c>
    </row>
    <row r="12" spans="1:19" x14ac:dyDescent="0.2">
      <c r="A12" t="s">
        <v>6</v>
      </c>
      <c r="G12" t="s">
        <v>6</v>
      </c>
      <c r="N12" s="5">
        <v>1000</v>
      </c>
      <c r="O12" s="4">
        <v>32</v>
      </c>
      <c r="P12" s="5">
        <v>21</v>
      </c>
      <c r="Q12" s="4">
        <v>0</v>
      </c>
      <c r="R12" s="5">
        <v>5</v>
      </c>
      <c r="S12" s="4">
        <f t="shared" si="0"/>
        <v>5</v>
      </c>
    </row>
    <row r="13" spans="1:19" x14ac:dyDescent="0.2">
      <c r="A13" t="s">
        <v>7</v>
      </c>
      <c r="G13" t="s">
        <v>7</v>
      </c>
    </row>
    <row r="14" spans="1:19" x14ac:dyDescent="0.2">
      <c r="A14" t="s">
        <v>8</v>
      </c>
      <c r="G14" t="s">
        <v>8</v>
      </c>
    </row>
    <row r="15" spans="1:19" x14ac:dyDescent="0.2">
      <c r="A15" t="s">
        <v>24</v>
      </c>
      <c r="G15" t="s">
        <v>24</v>
      </c>
    </row>
    <row r="16" spans="1:19" x14ac:dyDescent="0.2">
      <c r="A16" t="s">
        <v>19</v>
      </c>
      <c r="G16" t="s">
        <v>19</v>
      </c>
    </row>
    <row r="17" spans="1:7" x14ac:dyDescent="0.2">
      <c r="A17" t="s">
        <v>9</v>
      </c>
      <c r="G17" t="s">
        <v>9</v>
      </c>
    </row>
    <row r="18" spans="1:7" x14ac:dyDescent="0.2">
      <c r="A18" t="s">
        <v>10</v>
      </c>
      <c r="G18" t="s">
        <v>10</v>
      </c>
    </row>
    <row r="19" spans="1:7" x14ac:dyDescent="0.2">
      <c r="A19" t="s">
        <v>34</v>
      </c>
      <c r="G19" t="s">
        <v>12</v>
      </c>
    </row>
    <row r="20" spans="1:7" x14ac:dyDescent="0.2">
      <c r="A20" t="s">
        <v>12</v>
      </c>
      <c r="G20" t="s">
        <v>20</v>
      </c>
    </row>
    <row r="21" spans="1:7" x14ac:dyDescent="0.2">
      <c r="A21" t="s">
        <v>20</v>
      </c>
      <c r="G21" t="s">
        <v>13</v>
      </c>
    </row>
    <row r="22" spans="1:7" x14ac:dyDescent="0.2">
      <c r="A22" t="s">
        <v>37</v>
      </c>
      <c r="G22" t="s">
        <v>22</v>
      </c>
    </row>
    <row r="23" spans="1:7" x14ac:dyDescent="0.2">
      <c r="A23" t="s">
        <v>13</v>
      </c>
      <c r="G23" t="s">
        <v>29</v>
      </c>
    </row>
    <row r="24" spans="1:7" x14ac:dyDescent="0.2">
      <c r="A24" t="s">
        <v>22</v>
      </c>
      <c r="G24" t="s">
        <v>30</v>
      </c>
    </row>
    <row r="25" spans="1:7" x14ac:dyDescent="0.2">
      <c r="A25" t="s">
        <v>29</v>
      </c>
      <c r="G25" t="s">
        <v>23</v>
      </c>
    </row>
    <row r="26" spans="1:7" x14ac:dyDescent="0.2">
      <c r="A26" t="s">
        <v>30</v>
      </c>
    </row>
    <row r="27" spans="1:7" x14ac:dyDescent="0.2">
      <c r="A2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EE20-BCF1-EA42-A1D2-15B29CBC4D00}">
  <dimension ref="A1:F23"/>
  <sheetViews>
    <sheetView workbookViewId="0">
      <selection activeCell="F9" sqref="F9"/>
    </sheetView>
  </sheetViews>
  <sheetFormatPr baseColWidth="10" defaultRowHeight="16" x14ac:dyDescent="0.2"/>
  <cols>
    <col min="1" max="1" width="38.33203125" bestFit="1" customWidth="1"/>
    <col min="2" max="2" width="15.6640625" bestFit="1" customWidth="1"/>
  </cols>
  <sheetData>
    <row r="1" spans="1:6" x14ac:dyDescent="0.2">
      <c r="A1" s="1" t="s">
        <v>32</v>
      </c>
      <c r="F1" s="1" t="s">
        <v>33</v>
      </c>
    </row>
    <row r="2" spans="1:6" x14ac:dyDescent="0.2">
      <c r="A2" t="s">
        <v>0</v>
      </c>
      <c r="B2" t="s">
        <v>14</v>
      </c>
      <c r="C2" t="s">
        <v>31</v>
      </c>
    </row>
    <row r="3" spans="1:6" x14ac:dyDescent="0.2">
      <c r="A3" t="s">
        <v>1</v>
      </c>
      <c r="B3" t="s">
        <v>21</v>
      </c>
      <c r="C3" t="s">
        <v>25</v>
      </c>
    </row>
    <row r="4" spans="1:6" x14ac:dyDescent="0.2">
      <c r="A4" t="s">
        <v>2</v>
      </c>
      <c r="C4" t="s">
        <v>26</v>
      </c>
    </row>
    <row r="5" spans="1:6" x14ac:dyDescent="0.2">
      <c r="A5" t="s">
        <v>15</v>
      </c>
      <c r="C5" t="s">
        <v>27</v>
      </c>
    </row>
    <row r="6" spans="1:6" x14ac:dyDescent="0.2">
      <c r="A6" t="s">
        <v>16</v>
      </c>
      <c r="C6" t="s">
        <v>11</v>
      </c>
    </row>
    <row r="7" spans="1:6" x14ac:dyDescent="0.2">
      <c r="A7" t="s">
        <v>17</v>
      </c>
      <c r="C7" t="s">
        <v>28</v>
      </c>
    </row>
    <row r="8" spans="1:6" x14ac:dyDescent="0.2">
      <c r="A8" t="s">
        <v>18</v>
      </c>
      <c r="C8" t="s">
        <v>29</v>
      </c>
    </row>
    <row r="9" spans="1:6" x14ac:dyDescent="0.2">
      <c r="A9" t="s">
        <v>3</v>
      </c>
      <c r="C9" t="s">
        <v>30</v>
      </c>
    </row>
    <row r="10" spans="1:6" x14ac:dyDescent="0.2">
      <c r="A10" t="s">
        <v>4</v>
      </c>
    </row>
    <row r="11" spans="1:6" x14ac:dyDescent="0.2">
      <c r="A11" t="s">
        <v>5</v>
      </c>
    </row>
    <row r="12" spans="1:6" x14ac:dyDescent="0.2">
      <c r="A12" t="s">
        <v>6</v>
      </c>
    </row>
    <row r="13" spans="1:6" x14ac:dyDescent="0.2">
      <c r="A13" t="s">
        <v>7</v>
      </c>
    </row>
    <row r="14" spans="1:6" x14ac:dyDescent="0.2">
      <c r="A14" t="s">
        <v>8</v>
      </c>
    </row>
    <row r="15" spans="1:6" x14ac:dyDescent="0.2">
      <c r="A15" t="s">
        <v>24</v>
      </c>
    </row>
    <row r="16" spans="1:6" x14ac:dyDescent="0.2">
      <c r="A16" t="s">
        <v>19</v>
      </c>
    </row>
    <row r="17" spans="1:1" x14ac:dyDescent="0.2">
      <c r="A17" t="s">
        <v>9</v>
      </c>
    </row>
    <row r="18" spans="1:1" x14ac:dyDescent="0.2">
      <c r="A18" t="s">
        <v>10</v>
      </c>
    </row>
    <row r="19" spans="1:1" x14ac:dyDescent="0.2">
      <c r="A19" t="s">
        <v>12</v>
      </c>
    </row>
    <row r="20" spans="1:1" x14ac:dyDescent="0.2">
      <c r="A20" t="s">
        <v>20</v>
      </c>
    </row>
    <row r="21" spans="1:1" x14ac:dyDescent="0.2">
      <c r="A21" t="s">
        <v>13</v>
      </c>
    </row>
    <row r="22" spans="1:1" x14ac:dyDescent="0.2">
      <c r="A22" t="s">
        <v>22</v>
      </c>
    </row>
    <row r="23" spans="1:1" x14ac:dyDescent="0.2">
      <c r="A2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AFA61-4172-D44F-BBB6-48F09B1BE134}">
  <dimension ref="A1:F12"/>
  <sheetViews>
    <sheetView workbookViewId="0">
      <selection activeCell="A2" sqref="A2:F12"/>
    </sheetView>
  </sheetViews>
  <sheetFormatPr baseColWidth="10" defaultRowHeight="16" x14ac:dyDescent="0.2"/>
  <cols>
    <col min="1" max="1" width="18" bestFit="1" customWidth="1"/>
    <col min="3" max="3" width="11.5" bestFit="1" customWidth="1"/>
    <col min="4" max="4" width="12.5" bestFit="1" customWidth="1"/>
    <col min="5" max="5" width="13" bestFit="1" customWidth="1"/>
  </cols>
  <sheetData>
    <row r="1" spans="1:6" x14ac:dyDescent="0.2">
      <c r="A1" s="1" t="s">
        <v>41</v>
      </c>
      <c r="B1" s="1" t="s">
        <v>45</v>
      </c>
      <c r="C1" s="1" t="s">
        <v>42</v>
      </c>
      <c r="D1" s="1" t="s">
        <v>44</v>
      </c>
      <c r="E1" s="1" t="s">
        <v>43</v>
      </c>
      <c r="F1" s="1" t="s">
        <v>46</v>
      </c>
    </row>
    <row r="2" spans="1:6" x14ac:dyDescent="0.2">
      <c r="A2" s="4">
        <v>0</v>
      </c>
      <c r="B2" s="4">
        <v>59</v>
      </c>
      <c r="C2" s="4">
        <v>24</v>
      </c>
      <c r="D2" s="4">
        <v>2</v>
      </c>
      <c r="E2" s="4">
        <v>1</v>
      </c>
      <c r="F2" s="4">
        <f>SUM(D2:E2)</f>
        <v>3</v>
      </c>
    </row>
    <row r="3" spans="1:6" x14ac:dyDescent="0.2">
      <c r="A3" s="5">
        <v>25</v>
      </c>
      <c r="B3" s="5">
        <v>56</v>
      </c>
      <c r="C3" s="5">
        <v>24</v>
      </c>
      <c r="D3" s="4">
        <v>0</v>
      </c>
      <c r="E3" s="4">
        <v>1</v>
      </c>
      <c r="F3" s="4">
        <f t="shared" ref="F3:F12" si="0">SUM(D3:E3)</f>
        <v>1</v>
      </c>
    </row>
    <row r="4" spans="1:6" x14ac:dyDescent="0.2">
      <c r="A4" s="5">
        <v>50</v>
      </c>
      <c r="B4" s="5">
        <v>54</v>
      </c>
      <c r="C4" s="5">
        <v>24</v>
      </c>
      <c r="D4" s="4">
        <v>0</v>
      </c>
      <c r="E4" s="4">
        <v>1</v>
      </c>
      <c r="F4" s="4">
        <f t="shared" si="0"/>
        <v>1</v>
      </c>
    </row>
    <row r="5" spans="1:6" x14ac:dyDescent="0.2">
      <c r="A5" s="5">
        <v>75</v>
      </c>
      <c r="B5" s="4">
        <v>51</v>
      </c>
      <c r="C5" s="5">
        <v>24</v>
      </c>
      <c r="D5" s="4">
        <v>0</v>
      </c>
      <c r="E5" s="4">
        <v>1</v>
      </c>
      <c r="F5" s="4">
        <f t="shared" si="0"/>
        <v>1</v>
      </c>
    </row>
    <row r="6" spans="1:6" x14ac:dyDescent="0.2">
      <c r="A6" s="5">
        <v>100</v>
      </c>
      <c r="B6" s="5">
        <v>46</v>
      </c>
      <c r="C6" s="5">
        <v>24</v>
      </c>
      <c r="D6" s="4">
        <v>0</v>
      </c>
      <c r="E6" s="4">
        <v>1</v>
      </c>
      <c r="F6" s="4">
        <f t="shared" si="0"/>
        <v>1</v>
      </c>
    </row>
    <row r="7" spans="1:6" x14ac:dyDescent="0.2">
      <c r="A7" s="5">
        <v>125</v>
      </c>
      <c r="B7" s="4">
        <v>43</v>
      </c>
      <c r="C7" s="5">
        <v>24</v>
      </c>
      <c r="D7" s="4">
        <v>0</v>
      </c>
      <c r="E7" s="4">
        <v>1</v>
      </c>
      <c r="F7" s="4">
        <f t="shared" si="0"/>
        <v>1</v>
      </c>
    </row>
    <row r="8" spans="1:6" x14ac:dyDescent="0.2">
      <c r="A8" s="5">
        <v>175</v>
      </c>
      <c r="B8" s="4">
        <v>41</v>
      </c>
      <c r="C8" s="5">
        <v>23</v>
      </c>
      <c r="D8" s="4">
        <v>0</v>
      </c>
      <c r="E8" s="4">
        <v>2</v>
      </c>
      <c r="F8" s="4">
        <f t="shared" si="0"/>
        <v>2</v>
      </c>
    </row>
    <row r="9" spans="1:6" x14ac:dyDescent="0.2">
      <c r="A9" s="5">
        <v>250</v>
      </c>
      <c r="B9" s="4">
        <v>39</v>
      </c>
      <c r="C9" s="5">
        <v>23</v>
      </c>
      <c r="D9" s="4">
        <v>0</v>
      </c>
      <c r="E9" s="5">
        <v>2</v>
      </c>
      <c r="F9" s="4">
        <f t="shared" si="0"/>
        <v>2</v>
      </c>
    </row>
    <row r="10" spans="1:6" x14ac:dyDescent="0.2">
      <c r="A10" s="5">
        <v>500</v>
      </c>
      <c r="B10" s="4">
        <v>37</v>
      </c>
      <c r="C10" s="5">
        <v>23</v>
      </c>
      <c r="D10" s="4">
        <v>0</v>
      </c>
      <c r="E10" s="5">
        <v>2</v>
      </c>
      <c r="F10" s="4">
        <f t="shared" si="0"/>
        <v>2</v>
      </c>
    </row>
    <row r="11" spans="1:6" x14ac:dyDescent="0.2">
      <c r="A11" s="5">
        <v>750</v>
      </c>
      <c r="B11" s="4">
        <v>34</v>
      </c>
      <c r="C11" s="5">
        <v>20</v>
      </c>
      <c r="D11" s="4">
        <v>0</v>
      </c>
      <c r="E11" s="5">
        <v>5</v>
      </c>
      <c r="F11" s="4">
        <f t="shared" si="0"/>
        <v>5</v>
      </c>
    </row>
    <row r="12" spans="1:6" x14ac:dyDescent="0.2">
      <c r="A12" s="5">
        <v>1000</v>
      </c>
      <c r="B12" s="4">
        <v>33</v>
      </c>
      <c r="C12" s="5">
        <v>20</v>
      </c>
      <c r="D12" s="4">
        <v>0</v>
      </c>
      <c r="E12" s="5">
        <v>5</v>
      </c>
      <c r="F12" s="4">
        <f t="shared" si="0"/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70DE7-8A82-E940-B394-C327BCA78CA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6D14-555F-2B4B-BB7C-1D4850424076}">
  <dimension ref="A1:F12"/>
  <sheetViews>
    <sheetView workbookViewId="0">
      <selection activeCell="C18" sqref="C18"/>
    </sheetView>
  </sheetViews>
  <sheetFormatPr baseColWidth="10" defaultRowHeight="16" x14ac:dyDescent="0.2"/>
  <cols>
    <col min="1" max="1" width="18" bestFit="1" customWidth="1"/>
    <col min="2" max="2" width="11" customWidth="1"/>
    <col min="3" max="3" width="11.5" bestFit="1" customWidth="1"/>
    <col min="4" max="4" width="12.5" bestFit="1" customWidth="1"/>
    <col min="5" max="5" width="13" bestFit="1" customWidth="1"/>
  </cols>
  <sheetData>
    <row r="1" spans="1:6" x14ac:dyDescent="0.2">
      <c r="A1" s="1" t="s">
        <v>41</v>
      </c>
      <c r="B1" s="1" t="s">
        <v>45</v>
      </c>
      <c r="C1" s="1" t="s">
        <v>42</v>
      </c>
      <c r="D1" s="1" t="s">
        <v>44</v>
      </c>
      <c r="E1" s="1" t="s">
        <v>43</v>
      </c>
      <c r="F1" s="1" t="s">
        <v>46</v>
      </c>
    </row>
    <row r="2" spans="1:6" x14ac:dyDescent="0.2">
      <c r="A2" s="4">
        <v>0</v>
      </c>
      <c r="B2">
        <v>101</v>
      </c>
      <c r="C2">
        <v>27</v>
      </c>
      <c r="D2">
        <v>15</v>
      </c>
      <c r="E2">
        <v>0</v>
      </c>
      <c r="F2">
        <f>SUM(D2:E2)</f>
        <v>15</v>
      </c>
    </row>
    <row r="3" spans="1:6" x14ac:dyDescent="0.2">
      <c r="A3" s="5">
        <v>25</v>
      </c>
      <c r="B3">
        <v>79</v>
      </c>
      <c r="C3">
        <v>27</v>
      </c>
      <c r="D3">
        <v>7</v>
      </c>
      <c r="E3">
        <v>0</v>
      </c>
      <c r="F3">
        <f t="shared" ref="F3:F12" si="0">SUM(D3:E3)</f>
        <v>7</v>
      </c>
    </row>
    <row r="4" spans="1:6" x14ac:dyDescent="0.2">
      <c r="A4" s="5">
        <v>50</v>
      </c>
      <c r="B4">
        <v>71</v>
      </c>
      <c r="C4">
        <v>27</v>
      </c>
      <c r="D4">
        <v>5</v>
      </c>
      <c r="E4">
        <v>0</v>
      </c>
      <c r="F4">
        <f t="shared" si="0"/>
        <v>5</v>
      </c>
    </row>
    <row r="5" spans="1:6" x14ac:dyDescent="0.2">
      <c r="A5" s="5">
        <v>75</v>
      </c>
      <c r="B5">
        <v>64</v>
      </c>
      <c r="C5">
        <v>27</v>
      </c>
      <c r="D5">
        <v>4</v>
      </c>
      <c r="E5">
        <v>0</v>
      </c>
      <c r="F5">
        <f t="shared" si="0"/>
        <v>4</v>
      </c>
    </row>
    <row r="6" spans="1:6" x14ac:dyDescent="0.2">
      <c r="A6" s="5">
        <v>100</v>
      </c>
      <c r="B6">
        <v>63</v>
      </c>
      <c r="C6">
        <v>27</v>
      </c>
      <c r="D6">
        <v>4</v>
      </c>
      <c r="E6">
        <v>0</v>
      </c>
      <c r="F6">
        <f t="shared" si="0"/>
        <v>4</v>
      </c>
    </row>
    <row r="7" spans="1:6" x14ac:dyDescent="0.2">
      <c r="A7" s="5">
        <v>125</v>
      </c>
      <c r="B7">
        <v>62</v>
      </c>
      <c r="C7">
        <v>27</v>
      </c>
      <c r="D7">
        <v>4</v>
      </c>
      <c r="E7">
        <v>0</v>
      </c>
      <c r="F7">
        <f t="shared" si="0"/>
        <v>4</v>
      </c>
    </row>
    <row r="8" spans="1:6" x14ac:dyDescent="0.2">
      <c r="A8" s="5">
        <v>175</v>
      </c>
      <c r="B8">
        <v>53</v>
      </c>
      <c r="C8">
        <v>26</v>
      </c>
      <c r="D8">
        <v>2</v>
      </c>
      <c r="E8">
        <v>1</v>
      </c>
      <c r="F8">
        <f t="shared" si="0"/>
        <v>3</v>
      </c>
    </row>
    <row r="9" spans="1:6" x14ac:dyDescent="0.2">
      <c r="A9" s="5">
        <v>250</v>
      </c>
      <c r="B9">
        <v>50</v>
      </c>
      <c r="C9">
        <v>26</v>
      </c>
      <c r="D9">
        <v>1</v>
      </c>
      <c r="E9">
        <v>1</v>
      </c>
      <c r="F9">
        <f t="shared" si="0"/>
        <v>2</v>
      </c>
    </row>
    <row r="10" spans="1:6" x14ac:dyDescent="0.2">
      <c r="A10" s="5">
        <v>500</v>
      </c>
      <c r="B10">
        <v>43</v>
      </c>
      <c r="C10">
        <v>24</v>
      </c>
      <c r="D10">
        <v>1</v>
      </c>
      <c r="E10">
        <v>3</v>
      </c>
      <c r="F10">
        <f t="shared" si="0"/>
        <v>4</v>
      </c>
    </row>
    <row r="11" spans="1:6" x14ac:dyDescent="0.2">
      <c r="A11" s="5">
        <v>750</v>
      </c>
      <c r="B11">
        <v>40</v>
      </c>
      <c r="C11">
        <v>24</v>
      </c>
      <c r="D11">
        <v>0</v>
      </c>
      <c r="E11">
        <v>3</v>
      </c>
      <c r="F11">
        <f t="shared" si="0"/>
        <v>3</v>
      </c>
    </row>
    <row r="12" spans="1:6" x14ac:dyDescent="0.2">
      <c r="A12" s="5">
        <v>1000</v>
      </c>
      <c r="B12">
        <v>34</v>
      </c>
      <c r="C12">
        <v>23</v>
      </c>
      <c r="D12">
        <v>0</v>
      </c>
      <c r="E12">
        <v>4</v>
      </c>
      <c r="F12">
        <f t="shared" si="0"/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8BE7F-4310-8243-8ECE-3435E0954F93}">
  <dimension ref="A1:P12"/>
  <sheetViews>
    <sheetView tabSelected="1" workbookViewId="0">
      <selection activeCell="H17" sqref="H17"/>
    </sheetView>
  </sheetViews>
  <sheetFormatPr baseColWidth="10" defaultRowHeight="16" x14ac:dyDescent="0.2"/>
  <cols>
    <col min="1" max="1" width="18" bestFit="1" customWidth="1"/>
    <col min="2" max="2" width="9.5" bestFit="1" customWidth="1"/>
    <col min="5" max="5" width="13" bestFit="1" customWidth="1"/>
  </cols>
  <sheetData>
    <row r="1" spans="1:16" x14ac:dyDescent="0.2">
      <c r="A1" s="6" t="s">
        <v>41</v>
      </c>
      <c r="B1" s="6" t="s">
        <v>45</v>
      </c>
      <c r="C1" s="6" t="s">
        <v>42</v>
      </c>
      <c r="D1" s="6" t="s">
        <v>44</v>
      </c>
      <c r="E1" s="6" t="s">
        <v>43</v>
      </c>
      <c r="F1" s="6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 spans="1:16" x14ac:dyDescent="0.2">
      <c r="A2" s="4">
        <v>0</v>
      </c>
      <c r="B2">
        <v>59</v>
      </c>
      <c r="C2">
        <v>25</v>
      </c>
      <c r="D2">
        <v>4</v>
      </c>
      <c r="E2">
        <v>0</v>
      </c>
      <c r="F2">
        <f>SUM(D2:E2)</f>
        <v>4</v>
      </c>
      <c r="K2">
        <v>3</v>
      </c>
      <c r="L2">
        <v>3</v>
      </c>
      <c r="M2">
        <v>15</v>
      </c>
      <c r="N2">
        <v>4</v>
      </c>
      <c r="O2">
        <f>SUM(K2:N2)</f>
        <v>25</v>
      </c>
    </row>
    <row r="3" spans="1:16" x14ac:dyDescent="0.2">
      <c r="A3" s="5">
        <v>25</v>
      </c>
      <c r="B3">
        <v>52</v>
      </c>
      <c r="C3">
        <v>24</v>
      </c>
      <c r="D3">
        <v>1</v>
      </c>
      <c r="E3">
        <v>0</v>
      </c>
      <c r="F3">
        <f t="shared" ref="F3:F12" si="0">SUM(D3:E3)</f>
        <v>1</v>
      </c>
      <c r="K3">
        <v>3</v>
      </c>
      <c r="L3">
        <v>1</v>
      </c>
      <c r="M3">
        <v>7</v>
      </c>
      <c r="N3">
        <v>1</v>
      </c>
      <c r="O3">
        <f t="shared" ref="O3:O12" si="1">SUM(K3:N3)</f>
        <v>12</v>
      </c>
    </row>
    <row r="4" spans="1:16" x14ac:dyDescent="0.2">
      <c r="A4" s="5">
        <v>50</v>
      </c>
      <c r="B4">
        <v>48</v>
      </c>
      <c r="C4">
        <v>25</v>
      </c>
      <c r="D4">
        <v>0</v>
      </c>
      <c r="E4">
        <v>0</v>
      </c>
      <c r="F4">
        <f t="shared" si="0"/>
        <v>0</v>
      </c>
      <c r="K4">
        <v>3</v>
      </c>
      <c r="L4">
        <v>1</v>
      </c>
      <c r="M4">
        <v>5</v>
      </c>
      <c r="N4">
        <v>0</v>
      </c>
      <c r="O4">
        <f t="shared" si="1"/>
        <v>9</v>
      </c>
    </row>
    <row r="5" spans="1:16" x14ac:dyDescent="0.2">
      <c r="A5" s="5">
        <v>75</v>
      </c>
      <c r="B5">
        <v>46</v>
      </c>
      <c r="C5">
        <v>25</v>
      </c>
      <c r="D5">
        <v>0</v>
      </c>
      <c r="E5">
        <v>0</v>
      </c>
      <c r="F5">
        <f t="shared" si="0"/>
        <v>0</v>
      </c>
      <c r="K5">
        <v>3</v>
      </c>
      <c r="L5">
        <v>1</v>
      </c>
      <c r="M5">
        <v>4</v>
      </c>
      <c r="N5">
        <v>0</v>
      </c>
      <c r="O5">
        <f t="shared" si="1"/>
        <v>8</v>
      </c>
      <c r="P5" t="s">
        <v>52</v>
      </c>
    </row>
    <row r="6" spans="1:16" x14ac:dyDescent="0.2">
      <c r="A6" s="5">
        <v>100</v>
      </c>
      <c r="B6">
        <v>44</v>
      </c>
      <c r="C6">
        <v>24</v>
      </c>
      <c r="D6">
        <v>0</v>
      </c>
      <c r="E6">
        <v>1</v>
      </c>
      <c r="F6">
        <f t="shared" si="0"/>
        <v>1</v>
      </c>
      <c r="K6">
        <v>3</v>
      </c>
      <c r="L6">
        <v>1</v>
      </c>
      <c r="M6">
        <v>4</v>
      </c>
      <c r="N6">
        <v>1</v>
      </c>
      <c r="O6">
        <f t="shared" si="1"/>
        <v>9</v>
      </c>
    </row>
    <row r="7" spans="1:16" x14ac:dyDescent="0.2">
      <c r="A7" s="5">
        <v>125</v>
      </c>
      <c r="B7">
        <v>43</v>
      </c>
      <c r="C7">
        <v>24</v>
      </c>
      <c r="D7">
        <v>0</v>
      </c>
      <c r="E7">
        <v>1</v>
      </c>
      <c r="F7">
        <f t="shared" si="0"/>
        <v>1</v>
      </c>
      <c r="K7">
        <v>3</v>
      </c>
      <c r="L7">
        <v>1</v>
      </c>
      <c r="M7">
        <v>4</v>
      </c>
      <c r="N7">
        <v>1</v>
      </c>
      <c r="O7">
        <f t="shared" si="1"/>
        <v>9</v>
      </c>
    </row>
    <row r="8" spans="1:16" x14ac:dyDescent="0.2">
      <c r="A8" s="5">
        <v>175</v>
      </c>
      <c r="B8">
        <v>42</v>
      </c>
      <c r="C8">
        <v>24</v>
      </c>
      <c r="D8">
        <v>0</v>
      </c>
      <c r="E8">
        <v>1</v>
      </c>
      <c r="F8">
        <f t="shared" si="0"/>
        <v>1</v>
      </c>
      <c r="K8">
        <v>2</v>
      </c>
      <c r="L8">
        <v>2</v>
      </c>
      <c r="M8">
        <v>3</v>
      </c>
      <c r="N8">
        <v>1</v>
      </c>
      <c r="O8">
        <f t="shared" si="1"/>
        <v>8</v>
      </c>
      <c r="P8" t="s">
        <v>52</v>
      </c>
    </row>
    <row r="9" spans="1:16" x14ac:dyDescent="0.2">
      <c r="A9" s="5">
        <v>250</v>
      </c>
      <c r="B9">
        <v>42</v>
      </c>
      <c r="C9">
        <v>24</v>
      </c>
      <c r="D9">
        <v>0</v>
      </c>
      <c r="E9">
        <v>1</v>
      </c>
      <c r="F9">
        <f t="shared" si="0"/>
        <v>1</v>
      </c>
      <c r="K9">
        <v>3</v>
      </c>
      <c r="L9">
        <v>2</v>
      </c>
      <c r="M9">
        <v>2</v>
      </c>
      <c r="N9">
        <v>1</v>
      </c>
      <c r="O9">
        <f t="shared" si="1"/>
        <v>8</v>
      </c>
      <c r="P9" t="s">
        <v>52</v>
      </c>
    </row>
    <row r="10" spans="1:16" x14ac:dyDescent="0.2">
      <c r="A10" s="5">
        <v>500</v>
      </c>
      <c r="B10">
        <v>35</v>
      </c>
      <c r="C10">
        <v>24</v>
      </c>
      <c r="D10">
        <v>0</v>
      </c>
      <c r="E10">
        <v>1</v>
      </c>
      <c r="F10">
        <f t="shared" si="0"/>
        <v>1</v>
      </c>
      <c r="K10">
        <v>4</v>
      </c>
      <c r="L10">
        <v>2</v>
      </c>
      <c r="M10">
        <v>4</v>
      </c>
      <c r="N10">
        <v>1</v>
      </c>
      <c r="O10">
        <f t="shared" si="1"/>
        <v>11</v>
      </c>
    </row>
    <row r="11" spans="1:16" x14ac:dyDescent="0.2">
      <c r="A11" s="5">
        <v>750</v>
      </c>
      <c r="B11">
        <v>35</v>
      </c>
      <c r="C11">
        <v>24</v>
      </c>
      <c r="D11">
        <v>0</v>
      </c>
      <c r="E11">
        <v>1</v>
      </c>
      <c r="F11">
        <f t="shared" si="0"/>
        <v>1</v>
      </c>
      <c r="K11">
        <v>4</v>
      </c>
      <c r="L11">
        <v>5</v>
      </c>
      <c r="M11">
        <v>3</v>
      </c>
      <c r="N11">
        <v>1</v>
      </c>
      <c r="O11">
        <f t="shared" si="1"/>
        <v>13</v>
      </c>
    </row>
    <row r="12" spans="1:16" x14ac:dyDescent="0.2">
      <c r="A12" s="5">
        <v>1000</v>
      </c>
      <c r="B12">
        <v>33</v>
      </c>
      <c r="C12">
        <v>24</v>
      </c>
      <c r="D12">
        <v>0</v>
      </c>
      <c r="E12">
        <v>1</v>
      </c>
      <c r="F12">
        <f t="shared" si="0"/>
        <v>1</v>
      </c>
      <c r="K12">
        <v>5</v>
      </c>
      <c r="L12">
        <v>5</v>
      </c>
      <c r="M12">
        <v>4</v>
      </c>
      <c r="N12">
        <v>1</v>
      </c>
      <c r="O12">
        <f t="shared" si="1"/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NS1 inocula</vt:lpstr>
      <vt:lpstr>NS1</vt:lpstr>
      <vt:lpstr>S2 inocula</vt:lpstr>
      <vt:lpstr>Sheet5</vt:lpstr>
      <vt:lpstr>NS6 inocula</vt:lpstr>
      <vt:lpstr>S5 inocula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Castaneda Mogollon</dc:creator>
  <cp:lastModifiedBy>Daniel Castaneda Mogollon</cp:lastModifiedBy>
  <dcterms:created xsi:type="dcterms:W3CDTF">2026-03-12T17:56:56Z</dcterms:created>
  <dcterms:modified xsi:type="dcterms:W3CDTF">2026-03-13T15:48:02Z</dcterms:modified>
</cp:coreProperties>
</file>